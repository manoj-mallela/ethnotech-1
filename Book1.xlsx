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0BE3541B-F41E-4F03-96A8-7DC1F4F47264}" xr6:coauthVersionLast="47" xr6:coauthVersionMax="47" xr10:uidLastSave="{00000000-0000-0000-0000-000000000000}"/>
  <bookViews>
    <workbookView xWindow="-120" yWindow="-120" windowWidth="29040" windowHeight="15720" activeTab="1" xr2:uid="{7A8FCF24-6512-4037-8DA9-586CF597C645}"/>
  </bookViews>
  <sheets>
    <sheet name="Sheet3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8" i="1"/>
  <c r="C7" i="1"/>
</calcChain>
</file>

<file path=xl/sharedStrings.xml><?xml version="1.0" encoding="utf-8"?>
<sst xmlns="http://schemas.openxmlformats.org/spreadsheetml/2006/main" count="64" uniqueCount="56">
  <si>
    <t>Sl.No</t>
  </si>
  <si>
    <t>Manoj</t>
  </si>
  <si>
    <t>Hemanth</t>
  </si>
  <si>
    <t>Jaya Sai</t>
  </si>
  <si>
    <t>Manish</t>
  </si>
  <si>
    <t>Nanda</t>
  </si>
  <si>
    <t>Mean</t>
  </si>
  <si>
    <t>Medain</t>
  </si>
  <si>
    <t>Mode</t>
  </si>
  <si>
    <t>Column1</t>
  </si>
  <si>
    <t>Std.Deviation</t>
  </si>
  <si>
    <t>Correlation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</si>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</sst>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6496062992126"/>
          <c:y val="0.18509082916359595"/>
          <c:w val="0.75418115704286959"/>
          <c:h val="0.551510026763895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Sheet1!$C$2:$C$6</c:f>
              <c:numCache>
                <c:formatCode>General</c:formatCode>
                <c:ptCount val="5"/>
                <c:pt idx="0">
                  <c:v>71</c:v>
                </c:pt>
                <c:pt idx="1">
                  <c:v>75</c:v>
                </c:pt>
                <c:pt idx="2">
                  <c:v>81</c:v>
                </c:pt>
                <c:pt idx="3">
                  <c:v>99</c:v>
                </c:pt>
                <c:pt idx="4">
                  <c:v>85</c:v>
                </c:pt>
              </c:numCache>
            </c:numRef>
          </c:xVal>
          <c:yVal>
            <c:numRef>
              <c:f>Sheet3!$C$25:$C$29</c:f>
              <c:numCache>
                <c:formatCode>General</c:formatCode>
                <c:ptCount val="5"/>
                <c:pt idx="0">
                  <c:v>-41.578711174227116</c:v>
                </c:pt>
                <c:pt idx="1">
                  <c:v>72.230093136119365</c:v>
                </c:pt>
                <c:pt idx="2">
                  <c:v>-32.886338779586232</c:v>
                </c:pt>
                <c:pt idx="3">
                  <c:v>0.61811570026206986</c:v>
                </c:pt>
                <c:pt idx="4">
                  <c:v>1.6168411174318464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63-41EA-BABF-BBFA0192E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72191"/>
        <c:axId val="1289541951"/>
      </c:scatterChart>
      <c:valAx>
        <c:axId val="1289572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9541951"/>
        <c:crosses val="autoZero"/>
        <c:crossBetween val="midCat"/>
      </c:valAx>
      <c:valAx>
        <c:axId val="12895419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957219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Sheet1!$C$2:$C$6</c:f>
              <c:numCache>
                <c:formatCode>General</c:formatCode>
                <c:ptCount val="5"/>
                <c:pt idx="0">
                  <c:v>71</c:v>
                </c:pt>
                <c:pt idx="1">
                  <c:v>75</c:v>
                </c:pt>
                <c:pt idx="2">
                  <c:v>81</c:v>
                </c:pt>
                <c:pt idx="3">
                  <c:v>99</c:v>
                </c:pt>
                <c:pt idx="4">
                  <c:v>85</c:v>
                </c:pt>
              </c:numCache>
            </c:numRef>
          </c:xVal>
          <c:yVal>
            <c:numRef>
              <c:f>Sheet1!$E$8:$E$12</c:f>
              <c:numCache>
                <c:formatCode>General</c:formatCode>
                <c:ptCount val="5"/>
                <c:pt idx="0">
                  <c:v>10.82589488217952</c:v>
                </c:pt>
                <c:pt idx="1">
                  <c:v>117.20000000000073</c:v>
                </c:pt>
                <c:pt idx="2">
                  <c:v>0.93151929550722379</c:v>
                </c:pt>
                <c:pt idx="3">
                  <c:v>0.97982740899177023</c:v>
                </c:pt>
                <c:pt idx="4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73-49BB-96F3-590749E1FBF2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Sheet1!$C$2:$C$6</c:f>
              <c:numCache>
                <c:formatCode>General</c:formatCode>
                <c:ptCount val="5"/>
                <c:pt idx="0">
                  <c:v>71</c:v>
                </c:pt>
                <c:pt idx="1">
                  <c:v>75</c:v>
                </c:pt>
                <c:pt idx="2">
                  <c:v>81</c:v>
                </c:pt>
                <c:pt idx="3">
                  <c:v>99</c:v>
                </c:pt>
                <c:pt idx="4">
                  <c:v>85</c:v>
                </c:pt>
              </c:numCache>
            </c:numRef>
          </c:xVal>
          <c:yVal>
            <c:numRef>
              <c:f>Sheet3!$B$25:$B$29</c:f>
              <c:numCache>
                <c:formatCode>General</c:formatCode>
                <c:ptCount val="5"/>
                <c:pt idx="0">
                  <c:v>52.404606056406635</c:v>
                </c:pt>
                <c:pt idx="1">
                  <c:v>44.969906863881363</c:v>
                </c:pt>
                <c:pt idx="2">
                  <c:v>33.817858075093454</c:v>
                </c:pt>
                <c:pt idx="3">
                  <c:v>0.36171170872970038</c:v>
                </c:pt>
                <c:pt idx="4">
                  <c:v>26.383158882568154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73-49BB-96F3-590749E1F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36671"/>
        <c:axId val="1289542431"/>
      </c:scatterChart>
      <c:valAx>
        <c:axId val="1289536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9542431"/>
        <c:crosses val="autoZero"/>
        <c:crossBetween val="midCat"/>
      </c:valAx>
      <c:valAx>
        <c:axId val="1289542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95366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Sheet3!$F$25:$F$29</c:f>
              <c:numCache>
                <c:formatCode>General</c:formatCode>
                <c:ptCount val="5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</c:numCache>
            </c:numRef>
          </c:xVal>
          <c:yVal>
            <c:numRef>
              <c:f>Sheet3!$G$25:$G$29</c:f>
              <c:numCache>
                <c:formatCode>General</c:formatCode>
                <c:ptCount val="5"/>
                <c:pt idx="0">
                  <c:v>0.93151929550722379</c:v>
                </c:pt>
                <c:pt idx="1">
                  <c:v>0.97982740899177023</c:v>
                </c:pt>
                <c:pt idx="2">
                  <c:v>10.82589488217952</c:v>
                </c:pt>
                <c:pt idx="3">
                  <c:v>28</c:v>
                </c:pt>
                <c:pt idx="4">
                  <c:v>117.20000000000073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D-46D6-A77B-88D194764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37631"/>
        <c:axId val="1289528031"/>
      </c:scatterChart>
      <c:valAx>
        <c:axId val="1289537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9528031"/>
        <c:crosses val="autoZero"/>
        <c:crossBetween val="midCat"/>
      </c:valAx>
      <c:valAx>
        <c:axId val="1289528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95376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229457300905942"/>
          <c:y val="6.2540504470839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276095764239442E-2"/>
          <c:y val="3.5065272578632581E-2"/>
          <c:w val="0.89019685039370078"/>
          <c:h val="0.88534401976726063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Sheet1!$C$2:$C$6</c:f>
              <c:numCache>
                <c:formatCode>General</c:formatCode>
                <c:ptCount val="5"/>
                <c:pt idx="0">
                  <c:v>71</c:v>
                </c:pt>
                <c:pt idx="1">
                  <c:v>75</c:v>
                </c:pt>
                <c:pt idx="2">
                  <c:v>81</c:v>
                </c:pt>
                <c:pt idx="3">
                  <c:v>99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2-40DE-8063-67E70D0D91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1930271"/>
        <c:axId val="1191927871"/>
      </c:lineChart>
      <c:catAx>
        <c:axId val="119193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27871"/>
        <c:crosses val="autoZero"/>
        <c:auto val="1"/>
        <c:lblAlgn val="ctr"/>
        <c:lblOffset val="100"/>
        <c:noMultiLvlLbl val="0"/>
      </c:catAx>
      <c:valAx>
        <c:axId val="11919278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193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Sheet1!$C$2:$C$6</c:f>
              <c:numCache>
                <c:formatCode>General</c:formatCode>
                <c:ptCount val="5"/>
                <c:pt idx="0">
                  <c:v>71</c:v>
                </c:pt>
                <c:pt idx="1">
                  <c:v>75</c:v>
                </c:pt>
                <c:pt idx="2">
                  <c:v>81</c:v>
                </c:pt>
                <c:pt idx="3">
                  <c:v>99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F-4266-8965-4E43B705AF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Sheet1!$C$2:$C$6</c:f>
              <c:numCache>
                <c:formatCode>General</c:formatCode>
                <c:ptCount val="5"/>
                <c:pt idx="0">
                  <c:v>71</c:v>
                </c:pt>
                <c:pt idx="1">
                  <c:v>75</c:v>
                </c:pt>
                <c:pt idx="2">
                  <c:v>81</c:v>
                </c:pt>
                <c:pt idx="3">
                  <c:v>99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2-4CFE-8036-9D4378511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9570271"/>
        <c:axId val="1289560191"/>
        <c:axId val="0"/>
      </c:bar3DChart>
      <c:catAx>
        <c:axId val="1289570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60191"/>
        <c:crosses val="autoZero"/>
        <c:auto val="1"/>
        <c:lblAlgn val="ctr"/>
        <c:lblOffset val="100"/>
        <c:noMultiLvlLbl val="0"/>
      </c:catAx>
      <c:valAx>
        <c:axId val="128956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A52E6-74B4-1339-4723-45D305017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352425</xdr:colOff>
      <xdr:row>18</xdr:row>
      <xdr:rowOff>0</xdr:rowOff>
    </xdr:from>
    <xdr:to>
      <xdr:col>15</xdr:col>
      <xdr:colOff>352425</xdr:colOff>
      <xdr:row>28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D68CAA-EC09-42A7-9C27-C3C6E9083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104775</xdr:colOff>
      <xdr:row>17</xdr:row>
      <xdr:rowOff>95250</xdr:rowOff>
    </xdr:from>
    <xdr:to>
      <xdr:col>22</xdr:col>
      <xdr:colOff>104775</xdr:colOff>
      <xdr:row>27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E544F9-29B4-1174-4B28-C8A9BDC26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557049</xdr:colOff>
      <xdr:row>1</xdr:row>
      <xdr:rowOff>166852</xdr:rowOff>
    </xdr:from>
    <xdr:to>
      <xdr:col>13</xdr:col>
      <xdr:colOff>127109</xdr:colOff>
      <xdr:row>17</xdr:row>
      <xdr:rowOff>23977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38AB7-17AD-9014-18E6-F3F7F58B3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372717</xdr:colOff>
      <xdr:row>2</xdr:row>
      <xdr:rowOff>10146</xdr:rowOff>
    </xdr:from>
    <xdr:to>
      <xdr:col>18</xdr:col>
      <xdr:colOff>596554</xdr:colOff>
      <xdr:row>16</xdr:row>
      <xdr:rowOff>94628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0564CE-51FF-361F-A53A-74779223E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168965</xdr:colOff>
      <xdr:row>18</xdr:row>
      <xdr:rowOff>47417</xdr:rowOff>
    </xdr:from>
    <xdr:to>
      <xdr:col>17</xdr:col>
      <xdr:colOff>477079</xdr:colOff>
      <xdr:row>32</xdr:row>
      <xdr:rowOff>123617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31333A-BC41-135B-C382-4E91A06A1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7BD6-C3FD-4F53-8DF9-DF2493D5D058}">
  <dimension ref="A1:I29"/>
  <sheetViews>
    <sheetView workbookViewId="0">
      <selection activeCell="M24" sqref="M24"/>
    </sheetView>
  </sheetViews>
  <sheetFormatPr defaultRowHeight="15" x14ac:dyDescent="0.25"/>
  <sheetData>
    <row r="1" spans="1:9" x14ac:dyDescent="0.25">
      <c r="A1" t="s">
        <v>24</v>
      </c>
    </row>
    <row r="2" spans="1:9" ht="15.75" thickBot="1" x14ac:dyDescent="0.3"/>
    <row r="3" spans="1:9" x14ac:dyDescent="0.25">
      <c r="A3" s="4" t="s">
        <v>25</v>
      </c>
      <c r="B3" s="4"/>
    </row>
    <row r="4" spans="1:9" x14ac:dyDescent="0.25">
      <c r="A4" s="1" t="s">
        <v>26</v>
      </c>
      <c r="B4" s="1">
        <v>0.40966872015727385</v>
      </c>
    </row>
    <row r="5" spans="1:9" x14ac:dyDescent="0.25">
      <c r="A5" s="1" t="s">
        <v>27</v>
      </c>
      <c r="B5" s="1">
        <v>0.16782846027529877</v>
      </c>
    </row>
    <row r="6" spans="1:9" x14ac:dyDescent="0.25">
      <c r="A6" s="1" t="s">
        <v>28</v>
      </c>
      <c r="B6" s="1">
        <v>-0.10956205296626831</v>
      </c>
    </row>
    <row r="7" spans="1:9" x14ac:dyDescent="0.25">
      <c r="A7" s="1" t="s">
        <v>12</v>
      </c>
      <c r="B7" s="1">
        <v>51.738068182934448</v>
      </c>
    </row>
    <row r="8" spans="1:9" ht="15.75" thickBot="1" x14ac:dyDescent="0.3">
      <c r="A8" s="2" t="s">
        <v>29</v>
      </c>
      <c r="B8" s="2">
        <v>5</v>
      </c>
    </row>
    <row r="10" spans="1:9" ht="15.75" thickBot="1" x14ac:dyDescent="0.3">
      <c r="A10" t="s">
        <v>30</v>
      </c>
    </row>
    <row r="11" spans="1:9" x14ac:dyDescent="0.25">
      <c r="A11" s="3"/>
      <c r="B11" s="3" t="s">
        <v>35</v>
      </c>
      <c r="C11" s="3" t="s">
        <v>36</v>
      </c>
      <c r="D11" s="3" t="s">
        <v>37</v>
      </c>
      <c r="E11" s="3" t="s">
        <v>38</v>
      </c>
      <c r="F11" s="3" t="s">
        <v>39</v>
      </c>
    </row>
    <row r="12" spans="1:9" x14ac:dyDescent="0.25">
      <c r="A12" s="1" t="s">
        <v>31</v>
      </c>
      <c r="B12" s="1">
        <v>1</v>
      </c>
      <c r="C12" s="1">
        <v>1619.5502360417449</v>
      </c>
      <c r="D12" s="1">
        <v>1619.5502360417449</v>
      </c>
      <c r="E12" s="1">
        <v>0.6050259553366355</v>
      </c>
      <c r="F12" s="1">
        <v>0.49337495107206553</v>
      </c>
    </row>
    <row r="13" spans="1:9" x14ac:dyDescent="0.25">
      <c r="A13" s="1" t="s">
        <v>32</v>
      </c>
      <c r="B13" s="1">
        <v>3</v>
      </c>
      <c r="C13" s="1">
        <v>8030.4830979059225</v>
      </c>
      <c r="D13" s="1">
        <v>2676.827699301974</v>
      </c>
      <c r="E13" s="1"/>
      <c r="F13" s="1"/>
    </row>
    <row r="14" spans="1:9" ht="15.75" thickBot="1" x14ac:dyDescent="0.3">
      <c r="A14" s="2" t="s">
        <v>33</v>
      </c>
      <c r="B14" s="2">
        <v>4</v>
      </c>
      <c r="C14" s="2">
        <v>9650.0333339476674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40</v>
      </c>
      <c r="C16" s="3" t="s">
        <v>12</v>
      </c>
      <c r="D16" s="3" t="s">
        <v>41</v>
      </c>
      <c r="E16" s="3" t="s">
        <v>42</v>
      </c>
      <c r="F16" s="3" t="s">
        <v>43</v>
      </c>
      <c r="G16" s="3" t="s">
        <v>44</v>
      </c>
      <c r="H16" s="3" t="s">
        <v>45</v>
      </c>
      <c r="I16" s="3" t="s">
        <v>46</v>
      </c>
    </row>
    <row r="17" spans="1:9" x14ac:dyDescent="0.25">
      <c r="A17" s="1" t="s">
        <v>34</v>
      </c>
      <c r="B17" s="1">
        <v>184.37051672373033</v>
      </c>
      <c r="C17" s="1">
        <v>197.77924396860044</v>
      </c>
      <c r="D17" s="1">
        <v>0.93220356708917906</v>
      </c>
      <c r="E17" s="1">
        <v>0.41999626903342435</v>
      </c>
      <c r="F17" s="1">
        <v>-445.05130750594742</v>
      </c>
      <c r="G17" s="1">
        <v>813.79234095340814</v>
      </c>
      <c r="H17" s="1">
        <v>-445.05130750594742</v>
      </c>
      <c r="I17" s="1">
        <v>813.79234095340814</v>
      </c>
    </row>
    <row r="18" spans="1:9" ht="15.75" thickBot="1" x14ac:dyDescent="0.3">
      <c r="A18" s="2" t="s">
        <v>47</v>
      </c>
      <c r="B18" s="2">
        <v>-1.8586747981313196</v>
      </c>
      <c r="C18" s="2">
        <v>2.3895515680694683</v>
      </c>
      <c r="D18" s="2">
        <v>-0.77783414384856864</v>
      </c>
      <c r="E18" s="2">
        <v>0.49337495107206508</v>
      </c>
      <c r="F18" s="2">
        <v>-9.4632943572188921</v>
      </c>
      <c r="G18" s="2">
        <v>5.7459447609562533</v>
      </c>
      <c r="H18" s="2">
        <v>-9.4632943572188921</v>
      </c>
      <c r="I18" s="2">
        <v>5.7459447609562533</v>
      </c>
    </row>
    <row r="22" spans="1:9" x14ac:dyDescent="0.25">
      <c r="A22" t="s">
        <v>48</v>
      </c>
      <c r="F22" t="s">
        <v>53</v>
      </c>
    </row>
    <row r="23" spans="1:9" ht="15.75" thickBot="1" x14ac:dyDescent="0.3"/>
    <row r="24" spans="1:9" x14ac:dyDescent="0.25">
      <c r="A24" s="3" t="s">
        <v>49</v>
      </c>
      <c r="B24" s="3" t="s">
        <v>50</v>
      </c>
      <c r="C24" s="3" t="s">
        <v>51</v>
      </c>
      <c r="D24" s="3" t="s">
        <v>52</v>
      </c>
      <c r="F24" s="3" t="s">
        <v>54</v>
      </c>
      <c r="G24" s="3" t="s">
        <v>55</v>
      </c>
    </row>
    <row r="25" spans="1:9" x14ac:dyDescent="0.25">
      <c r="A25" s="1">
        <v>1</v>
      </c>
      <c r="B25" s="1">
        <v>52.404606056406635</v>
      </c>
      <c r="C25" s="1">
        <v>-41.578711174227116</v>
      </c>
      <c r="D25" s="1">
        <v>-0.92796197972137728</v>
      </c>
      <c r="F25" s="1">
        <v>10</v>
      </c>
      <c r="G25" s="1">
        <v>0.93151929550722379</v>
      </c>
    </row>
    <row r="26" spans="1:9" x14ac:dyDescent="0.25">
      <c r="A26" s="1">
        <v>2</v>
      </c>
      <c r="B26" s="1">
        <v>44.969906863881363</v>
      </c>
      <c r="C26" s="1">
        <v>72.230093136119365</v>
      </c>
      <c r="D26" s="1">
        <v>1.6120456437716584</v>
      </c>
      <c r="F26" s="1">
        <v>30</v>
      </c>
      <c r="G26" s="1">
        <v>0.97982740899177023</v>
      </c>
    </row>
    <row r="27" spans="1:9" x14ac:dyDescent="0.25">
      <c r="A27" s="1">
        <v>3</v>
      </c>
      <c r="B27" s="1">
        <v>33.817858075093454</v>
      </c>
      <c r="C27" s="1">
        <v>-32.886338779586232</v>
      </c>
      <c r="D27" s="1">
        <v>-0.73396387665351948</v>
      </c>
      <c r="F27" s="1">
        <v>50</v>
      </c>
      <c r="G27" s="1">
        <v>10.82589488217952</v>
      </c>
    </row>
    <row r="28" spans="1:9" x14ac:dyDescent="0.25">
      <c r="A28" s="1">
        <v>4</v>
      </c>
      <c r="B28" s="1">
        <v>0.36171170872970038</v>
      </c>
      <c r="C28" s="1">
        <v>0.61811570026206986</v>
      </c>
      <c r="D28" s="1">
        <v>1.3795229643087126E-2</v>
      </c>
      <c r="F28" s="1">
        <v>70</v>
      </c>
      <c r="G28" s="1">
        <v>28</v>
      </c>
    </row>
    <row r="29" spans="1:9" ht="15.75" thickBot="1" x14ac:dyDescent="0.3">
      <c r="A29" s="2">
        <v>5</v>
      </c>
      <c r="B29" s="2">
        <v>26.383158882568154</v>
      </c>
      <c r="C29" s="2">
        <v>1.6168411174318464</v>
      </c>
      <c r="D29" s="2">
        <v>3.6084982960149913E-2</v>
      </c>
      <c r="F29" s="2">
        <v>90</v>
      </c>
      <c r="G29" s="2">
        <v>117.20000000000073</v>
      </c>
    </row>
  </sheetData>
  <sortState xmlns:xlrd2="http://schemas.microsoft.com/office/spreadsheetml/2017/richdata2" ref="G25:G29">
    <sortCondition ref="G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5DFE-D1D0-4CA3-BEE6-298FCF811A3E}">
  <dimension ref="A1:E17"/>
  <sheetViews>
    <sheetView tabSelected="1" zoomScale="145" zoomScaleNormal="145" workbookViewId="0">
      <selection activeCell="G21" sqref="G21"/>
    </sheetView>
  </sheetViews>
  <sheetFormatPr defaultRowHeight="15" x14ac:dyDescent="0.25"/>
  <cols>
    <col min="1" max="1" width="13.140625" bestFit="1" customWidth="1"/>
    <col min="4" max="4" width="11" bestFit="1" customWidth="1"/>
  </cols>
  <sheetData>
    <row r="1" spans="1:5" ht="15.75" thickBot="1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>
        <v>1</v>
      </c>
      <c r="B2" t="s">
        <v>1</v>
      </c>
      <c r="C2">
        <v>71</v>
      </c>
      <c r="D2" s="4" t="s">
        <v>9</v>
      </c>
      <c r="E2" s="4"/>
    </row>
    <row r="3" spans="1:5" x14ac:dyDescent="0.25">
      <c r="A3">
        <v>2</v>
      </c>
      <c r="B3" t="s">
        <v>2</v>
      </c>
      <c r="C3">
        <v>75</v>
      </c>
      <c r="D3" s="1"/>
      <c r="E3" s="1"/>
    </row>
    <row r="4" spans="1:5" x14ac:dyDescent="0.25">
      <c r="A4">
        <v>3</v>
      </c>
      <c r="B4" t="s">
        <v>3</v>
      </c>
      <c r="C4">
        <v>81</v>
      </c>
      <c r="D4" s="1" t="s">
        <v>6</v>
      </c>
      <c r="E4" s="1">
        <v>82.2</v>
      </c>
    </row>
    <row r="5" spans="1:5" x14ac:dyDescent="0.25">
      <c r="A5">
        <v>4</v>
      </c>
      <c r="B5" t="s">
        <v>4</v>
      </c>
      <c r="C5">
        <v>99</v>
      </c>
      <c r="D5" s="1" t="s">
        <v>12</v>
      </c>
      <c r="E5" s="1">
        <v>4.841487374764097</v>
      </c>
    </row>
    <row r="6" spans="1:5" x14ac:dyDescent="0.25">
      <c r="A6">
        <v>5</v>
      </c>
      <c r="B6" t="s">
        <v>5</v>
      </c>
      <c r="C6">
        <v>85</v>
      </c>
      <c r="D6" s="1" t="s">
        <v>13</v>
      </c>
      <c r="E6" s="1">
        <v>81</v>
      </c>
    </row>
    <row r="7" spans="1:5" x14ac:dyDescent="0.25">
      <c r="A7" t="s">
        <v>6</v>
      </c>
      <c r="C7">
        <f>AVERAGE(C2:C6)</f>
        <v>82.2</v>
      </c>
      <c r="D7" s="1" t="s">
        <v>8</v>
      </c>
      <c r="E7" s="1" t="e">
        <v>#N/A</v>
      </c>
    </row>
    <row r="8" spans="1:5" x14ac:dyDescent="0.25">
      <c r="A8" t="s">
        <v>7</v>
      </c>
      <c r="C8">
        <f>MEDIAN(C2:C6)</f>
        <v>81</v>
      </c>
      <c r="D8" s="1" t="s">
        <v>14</v>
      </c>
      <c r="E8" s="1">
        <v>10.82589488217952</v>
      </c>
    </row>
    <row r="9" spans="1:5" x14ac:dyDescent="0.25">
      <c r="A9" t="s">
        <v>8</v>
      </c>
      <c r="D9" s="1" t="s">
        <v>15</v>
      </c>
      <c r="E9" s="1">
        <v>117.20000000000073</v>
      </c>
    </row>
    <row r="10" spans="1:5" x14ac:dyDescent="0.25">
      <c r="D10" s="1" t="s">
        <v>16</v>
      </c>
      <c r="E10" s="1">
        <v>0.93151929550722379</v>
      </c>
    </row>
    <row r="11" spans="1:5" x14ac:dyDescent="0.25">
      <c r="D11" s="1" t="s">
        <v>17</v>
      </c>
      <c r="E11" s="1">
        <v>0.97982740899177023</v>
      </c>
    </row>
    <row r="12" spans="1:5" x14ac:dyDescent="0.25">
      <c r="A12" t="s">
        <v>10</v>
      </c>
      <c r="C12">
        <f>_xlfn.STDEV.P(C2:C6)</f>
        <v>9.6829747495281637</v>
      </c>
      <c r="D12" s="1" t="s">
        <v>18</v>
      </c>
      <c r="E12" s="1">
        <v>28</v>
      </c>
    </row>
    <row r="13" spans="1:5" x14ac:dyDescent="0.25">
      <c r="A13" t="s">
        <v>11</v>
      </c>
      <c r="C13" t="e">
        <f>CORREL(C2:C6,D2:D6)</f>
        <v>#DIV/0!</v>
      </c>
      <c r="D13" s="1" t="s">
        <v>19</v>
      </c>
      <c r="E13" s="1">
        <v>71</v>
      </c>
    </row>
    <row r="14" spans="1:5" x14ac:dyDescent="0.25">
      <c r="D14" s="1" t="s">
        <v>20</v>
      </c>
      <c r="E14" s="1">
        <v>99</v>
      </c>
    </row>
    <row r="15" spans="1:5" x14ac:dyDescent="0.25">
      <c r="D15" s="1" t="s">
        <v>21</v>
      </c>
      <c r="E15" s="1">
        <v>411</v>
      </c>
    </row>
    <row r="16" spans="1:5" x14ac:dyDescent="0.25">
      <c r="D16" s="1" t="s">
        <v>22</v>
      </c>
      <c r="E16" s="1">
        <v>5</v>
      </c>
    </row>
    <row r="17" spans="4:5" ht="15.75" thickBot="1" x14ac:dyDescent="0.3">
      <c r="D17" s="2" t="s">
        <v>23</v>
      </c>
      <c r="E17" s="2">
        <v>13.44212392354069</v>
      </c>
    </row>
  </sheetData>
  <conditionalFormatting sqref="A2:C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0EEF-598D-4EDE-8C7D-2E90D47689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2026-05-26T08:28:40Z</dcterms:created>
  <dcterms:modified xsi:type="dcterms:W3CDTF">2026-05-26T10:22:08Z</dcterms:modified>
</cp:coreProperties>
</file>